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500" firstSheet="0" activeTab="1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&quot; hrs&quot;"/>
    <numFmt numFmtId="165" formatCode="dd/mm/yyyy"/>
    <numFmt numFmtId="166" formatCode="0&quot; ngày&quot;"/>
    <numFmt numFmtId="167" formatCode="\$0.00&quot;/hr&quot;"/>
  </numFmts>
  <fonts count="8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applyNumberFormat="1" applyFont="1" applyFill="1" applyBorder="1" applyAlignment="1" numFmtId="0" fontId="0" fillId="0" borderId="0" pivotButton="0" quotePrefix="0" xfId="0"/>
    <xf applyNumberFormat="1" applyFont="1" applyFill="1" applyBorder="1" applyAlignment="1" numFmtId="0" fontId="2" fillId="0" borderId="0" pivotButton="0" quotePrefix="0" xfId="0"/>
    <xf applyNumberFormat="1" applyFont="1" applyFill="1" applyBorder="1" applyAlignment="1" numFmtId="0" fontId="4" fillId="2" borderId="1" pivotButton="0" quotePrefix="0" xfId="0">
      <alignment horizontal="center" vertical="center" wrapText="1"/>
    </xf>
    <xf applyNumberFormat="1" applyFont="1" applyFill="1" applyBorder="1" applyAlignment="1" numFmtId="0" fontId="2" fillId="3" borderId="1" pivotButton="0" quotePrefix="0" xfId="0">
      <alignment horizontal="center" vertical="center"/>
    </xf>
    <xf applyNumberFormat="1" applyFont="1" applyFill="1" applyBorder="1" applyAlignment="1" numFmtId="49" fontId="2" fillId="3" borderId="1" pivotButton="0" quotePrefix="0" xfId="0">
      <alignment horizontal="center" vertical="center"/>
    </xf>
    <xf applyNumberFormat="1" applyFont="1" applyFill="1" applyBorder="1" applyAlignment="1" numFmtId="0" fontId="2" fillId="3" borderId="1" pivotButton="0" quotePrefix="0" xfId="0">
      <alignment vertical="center"/>
    </xf>
    <xf applyNumberFormat="1" applyFont="1" applyFill="1" applyBorder="1" applyAlignment="1" numFmtId="164" fontId="2" fillId="3" borderId="1" pivotButton="0" quotePrefix="0" xfId="0">
      <alignment horizontal="center" vertical="center"/>
    </xf>
    <xf applyNumberFormat="1" applyFont="1" applyFill="1" applyBorder="1" applyAlignment="1" numFmtId="165" fontId="2" fillId="3" borderId="1" pivotButton="0" quotePrefix="0" xfId="0">
      <alignment horizontal="center" vertical="center"/>
    </xf>
    <xf applyNumberFormat="1" applyFont="1" applyFill="1" applyBorder="1" applyAlignment="1" numFmtId="1" fontId="2" fillId="3" borderId="1" pivotButton="0" quotePrefix="0" xfId="0">
      <alignment horizontal="center" vertical="center"/>
    </xf>
    <xf applyNumberFormat="1" applyFont="1" applyFill="1" applyBorder="1" applyAlignment="1" numFmtId="0" fontId="2" fillId="4" borderId="1" pivotButton="0" quotePrefix="0" xfId="0">
      <alignment horizontal="center" vertical="center"/>
    </xf>
    <xf applyNumberFormat="1" applyFont="1" applyFill="1" applyBorder="1" applyAlignment="1" numFmtId="49" fontId="2" fillId="4" borderId="1" pivotButton="0" quotePrefix="0" xfId="0">
      <alignment horizontal="center" vertical="center"/>
    </xf>
    <xf applyNumberFormat="1" applyFont="1" applyFill="1" applyBorder="1" applyAlignment="1" numFmtId="0" fontId="2" fillId="4" borderId="1" pivotButton="0" quotePrefix="0" xfId="0">
      <alignment vertical="center" indent="1"/>
    </xf>
    <xf applyNumberFormat="1" applyFont="1" applyFill="1" applyBorder="1" applyAlignment="1" numFmtId="164" fontId="2" fillId="4" borderId="1" pivotButton="0" quotePrefix="0" xfId="0">
      <alignment horizontal="center" vertical="center"/>
    </xf>
    <xf applyNumberFormat="1" applyFont="1" applyFill="1" applyBorder="1" applyAlignment="1" numFmtId="165" fontId="2" fillId="4" borderId="1" pivotButton="0" quotePrefix="0" xfId="0">
      <alignment horizontal="center" vertical="center"/>
    </xf>
    <xf applyNumberFormat="1" applyFont="1" applyFill="1" applyBorder="1" applyAlignment="1" numFmtId="1" fontId="2" fillId="4" borderId="1" pivotButton="0" quotePrefix="0" xfId="0">
      <alignment horizontal="center" vertical="center"/>
    </xf>
    <xf applyNumberFormat="1" applyFont="1" applyFill="1" applyBorder="1" applyAlignment="1" numFmtId="0" fontId="5" fillId="0" borderId="1" pivotButton="0" quotePrefix="0" xfId="0">
      <alignment horizontal="center" vertical="center"/>
    </xf>
    <xf applyNumberFormat="1" applyFont="1" applyFill="1" applyBorder="1" applyAlignment="1" numFmtId="49" fontId="5" fillId="0" borderId="1" pivotButton="0" quotePrefix="0" xfId="0">
      <alignment horizontal="center" vertical="center"/>
    </xf>
    <xf applyNumberFormat="1" applyFont="1" applyFill="1" applyBorder="1" applyAlignment="1" numFmtId="0" fontId="5" fillId="0" borderId="1" pivotButton="0" quotePrefix="0" xfId="0">
      <alignment vertical="center" indent="2"/>
    </xf>
    <xf applyNumberFormat="1" applyFont="1" applyFill="1" applyBorder="1" applyAlignment="1" numFmtId="164" fontId="5" fillId="0" borderId="1" pivotButton="0" quotePrefix="0" xfId="0">
      <alignment horizontal="center" vertical="center"/>
    </xf>
    <xf applyNumberFormat="1" applyFont="1" applyFill="1" applyBorder="1" applyAlignment="1" numFmtId="165" fontId="5" fillId="0" borderId="1" pivotButton="0" quotePrefix="0" xfId="0">
      <alignment horizontal="center" vertical="center"/>
    </xf>
    <xf applyNumberFormat="1" applyFont="1" applyFill="1" applyBorder="1" applyAlignment="1" numFmtId="1" fontId="3" fillId="0" borderId="1" pivotButton="0" quotePrefix="0" xfId="0">
      <alignment horizontal="center" vertical="center"/>
    </xf>
    <xf applyNumberFormat="1" applyFont="1" applyFill="1" applyBorder="1" applyAlignment="1" numFmtId="0" fontId="2" fillId="4" borderId="1" pivotButton="0" quotePrefix="0" xfId="0">
      <alignment vertical="center" indent="2"/>
    </xf>
    <xf applyNumberFormat="1" applyFont="1" applyFill="1" applyBorder="1" applyAlignment="1" numFmtId="0" fontId="2" fillId="4" borderId="1" pivotButton="0" quotePrefix="0" xfId="0">
      <alignment vertical="center" indent="3"/>
    </xf>
    <xf applyNumberFormat="1" applyFont="1" applyFill="1" applyBorder="1" applyAlignment="1" numFmtId="0" fontId="5" fillId="0" borderId="1" pivotButton="0" quotePrefix="0" xfId="0">
      <alignment vertical="center" indent="4"/>
    </xf>
    <xf applyNumberFormat="1" applyFont="1" applyFill="1" applyBorder="1" applyAlignment="1" numFmtId="0" fontId="5" fillId="0" borderId="1" pivotButton="0" quotePrefix="0" xfId="0">
      <alignment vertical="center" indent="3"/>
    </xf>
    <xf applyNumberFormat="1" applyFont="1" applyFill="1" applyBorder="1" applyAlignment="1" numFmtId="0" fontId="5" fillId="0" borderId="1" pivotButton="0" quotePrefix="0" xfId="0">
      <alignment horizontal="center"/>
    </xf>
    <xf applyNumberFormat="1" applyFont="1" applyFill="1" applyBorder="1" applyAlignment="1" numFmtId="0" fontId="5" fillId="0" borderId="1" pivotButton="0" quotePrefix="0" xfId="0">
      <alignment horizontal="left"/>
    </xf>
    <xf applyNumberFormat="1" applyFont="1" applyFill="1" applyBorder="1" applyAlignment="1" numFmtId="0" fontId="6" fillId="0" borderId="1" pivotButton="0" quotePrefix="0" xfId="0">
      <alignment horizontal="center" vertical="center"/>
    </xf>
    <xf applyNumberFormat="1" applyFont="1" applyFill="1" applyBorder="1" applyAlignment="1" numFmtId="0" fontId="7" fillId="4" borderId="1" pivotButton="0" quotePrefix="0" xfId="0">
      <alignment horizontal="center" vertical="center"/>
    </xf>
    <xf applyNumberFormat="1" applyFont="1" applyFill="1" applyBorder="1" applyAlignment="1" numFmtId="0" fontId="7" fillId="3" borderId="1" pivotButton="0" quotePrefix="0" xfId="0">
      <alignment horizontal="center" vertical="center"/>
    </xf>
    <xf applyNumberFormat="1" applyFont="1" applyFill="1" applyBorder="1" applyAlignment="1" numFmtId="166" fontId="7" fillId="3" borderId="1" pivotButton="0" quotePrefix="0" xfId="0">
      <alignment horizontal="center" vertical="center"/>
    </xf>
    <xf applyNumberFormat="1" applyFont="1" applyFill="1" applyBorder="1" applyAlignment="1" numFmtId="166" fontId="7" fillId="4" borderId="1" pivotButton="0" quotePrefix="0" xfId="0">
      <alignment horizontal="center" vertical="center"/>
    </xf>
    <xf applyNumberFormat="1" applyFont="1" applyFill="1" applyBorder="1" applyAlignment="1" numFmtId="166" fontId="6" fillId="0" borderId="1" pivotButton="0" quotePrefix="0" xfId="0">
      <alignment horizontal="center" vertical="center"/>
    </xf>
    <xf applyNumberFormat="1" applyFont="1" applyFill="1" applyBorder="1" applyAlignment="1" numFmtId="1" fontId="7" fillId="4" borderId="1" pivotButton="0" quotePrefix="0" xfId="0">
      <alignment horizontal="center" vertical="center"/>
    </xf>
    <xf applyNumberFormat="1" applyFont="1" applyFill="1" applyBorder="1" applyAlignment="1" numFmtId="1" fontId="6" fillId="0" borderId="1" pivotButton="0" quotePrefix="0" xfId="0">
      <alignment horizontal="center" vertical="center"/>
    </xf>
    <xf applyNumberFormat="1" applyFont="1" applyFill="1" applyBorder="1" applyAlignment="1" numFmtId="0" fontId="6" fillId="0" borderId="0" pivotButton="0" quotePrefix="0" xfId="0">
      <alignment horizontal="left"/>
    </xf>
    <xf applyNumberFormat="1" applyFont="1" applyFill="1" applyBorder="1" applyAlignment="1" numFmtId="0" fontId="0" fillId="0" borderId="0" pivotButton="0" quotePrefix="0" xfId="0"/>
    <xf applyNumberFormat="1" applyFont="1" applyFill="1" applyBorder="1" applyAlignment="1" numFmtId="0" fontId="6" fillId="0" borderId="1" pivotButton="0" quotePrefix="0" xfId="0">
      <alignment horizontal="left"/>
    </xf>
    <xf applyNumberFormat="1" applyFont="1" applyFill="1" applyBorder="1" applyAlignment="1" numFmtId="0" fontId="6" fillId="0" borderId="1" pivotButton="0" quotePrefix="0" xfId="0">
      <alignment horizontal="center"/>
    </xf>
    <xf applyNumberFormat="1" applyFont="1" applyFill="1" applyBorder="1" applyAlignment="1" numFmtId="9" fontId="6" fillId="0" borderId="1" pivotButton="0" quotePrefix="0" xfId="0">
      <alignment horizontal="center"/>
    </xf>
    <xf applyNumberFormat="1" applyFont="1" applyFill="1" applyBorder="1" applyAlignment="1" numFmtId="167" fontId="6" fillId="0" borderId="1" pivotButton="0" quotePrefix="0" xfId="0">
      <alignment horizontal="center"/>
    </xf>
    <xf applyNumberFormat="1" applyFont="1" applyFill="1" applyBorder="1" applyAlignment="1" numFmtId="0" fontId="1" fillId="0" borderId="1" pivotButton="0" quotePrefix="0" xfId="0">
      <alignment horizontal="left"/>
    </xf>
    <xf applyNumberFormat="1" applyFont="1" applyFill="1" applyBorder="1" applyAlignment="1" numFmtId="0" fontId="6" fillId="5" borderId="1" pivotButton="0" quotePrefix="0" xfId="0">
      <alignment horizontal="left"/>
    </xf>
    <xf applyNumberFormat="1" applyFont="1" applyFill="1" applyBorder="1" applyAlignment="1" numFmtId="0" fontId="6" fillId="0" borderId="0" pivotButton="0" quotePrefix="0" xfId="0">
      <alignment horizontal="left"/>
    </xf>
    <xf applyNumberFormat="1" applyFont="1" applyFill="1" applyBorder="1" applyAlignment="1" numFmtId="165" fontId="6" fillId="0" borderId="0" pivotButton="0" quotePrefix="0" xfId="0">
      <alignment horizontal="left"/>
    </xf>
    <xf applyNumberFormat="1" applyFont="1" applyFill="1" applyBorder="1" applyAlignment="1" numFmtId="165" fontId="6" fillId="0" borderId="0" pivotButton="0" quotePrefix="0" xfId="0">
      <alignment horizontal="left"/>
    </xf>
    <xf applyNumberFormat="1" applyFont="1" applyFill="1" applyBorder="1" applyAlignment="1" numFmtId="166" fontId="7" fillId="3" borderId="1" pivotButton="0" quotePrefix="0" xfId="0">
      <alignment horizontal="center" vertical="center"/>
    </xf>
    <xf applyNumberFormat="1" applyFont="1" applyFill="1" applyBorder="1" applyAlignment="1" numFmtId="164" fontId="2" fillId="3" borderId="1" pivotButton="0" quotePrefix="0" xfId="0">
      <alignment horizontal="center" vertical="center"/>
    </xf>
    <xf applyNumberFormat="1" applyFont="1" applyFill="1" applyBorder="1" applyAlignment="1" numFmtId="165" fontId="2" fillId="3" borderId="1" pivotButton="0" quotePrefix="0" xfId="0">
      <alignment horizontal="center" vertical="center"/>
    </xf>
    <xf applyNumberFormat="1" applyFont="1" applyFill="1" applyBorder="1" applyAlignment="1" numFmtId="166" fontId="7" fillId="4" borderId="1" pivotButton="0" quotePrefix="0" xfId="0">
      <alignment horizontal="center" vertical="center"/>
    </xf>
    <xf applyNumberFormat="1" applyFont="1" applyFill="1" applyBorder="1" applyAlignment="1" numFmtId="164" fontId="2" fillId="4" borderId="1" pivotButton="0" quotePrefix="0" xfId="0">
      <alignment horizontal="center" vertical="center"/>
    </xf>
    <xf applyNumberFormat="1" applyFont="1" applyFill="1" applyBorder="1" applyAlignment="1" numFmtId="165" fontId="2" fillId="4" borderId="1" pivotButton="0" quotePrefix="0" xfId="0">
      <alignment horizontal="center" vertical="center"/>
    </xf>
    <xf applyNumberFormat="1" applyFont="1" applyFill="1" applyBorder="1" applyAlignment="1" numFmtId="166" fontId="6" fillId="0" borderId="1" pivotButton="0" quotePrefix="0" xfId="0">
      <alignment horizontal="center" vertical="center"/>
    </xf>
    <xf applyNumberFormat="1" applyFont="1" applyFill="1" applyBorder="1" applyAlignment="1" numFmtId="164" fontId="5" fillId="0" borderId="1" pivotButton="0" quotePrefix="0" xfId="0">
      <alignment horizontal="center" vertical="center"/>
    </xf>
    <xf applyNumberFormat="1" applyFont="1" applyFill="1" applyBorder="1" applyAlignment="1" numFmtId="165" fontId="5" fillId="0" borderId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6" sqref="C6"/>
    </sheetView>
  </sheetViews>
  <sheetFormatPr baseColWidth="8" defaultColWidth="8.6328125" defaultRowHeight="14.5"/>
  <cols>
    <col width="5" customWidth="1" style="36" min="1" max="1"/>
    <col width="11" customWidth="1" style="36" min="2" max="2"/>
    <col width="52" customWidth="1" style="36" min="3" max="3"/>
    <col width="15" customWidth="1" style="36" min="4" max="4"/>
    <col width="12" customWidth="1" style="36" min="5" max="6"/>
    <col width="13" customWidth="1" style="36" min="7" max="8"/>
    <col width="14" customWidth="1" style="36" min="9" max="9"/>
    <col width="13" customWidth="1" style="36" min="10" max="10"/>
  </cols>
  <sheetData>
    <row r="1">
      <c r="C1" s="1" t="inlineStr">
        <is>
          <t>Tên dự án</t>
        </is>
      </c>
      <c r="D1" s="43" t="inlineStr">
        <is>
          <t>Hệ thống quản lý thư viện</t>
        </is>
      </c>
    </row>
    <row r="2">
      <c r="C2" s="1" t="inlineStr">
        <is>
          <t>Ngày bắt đầu (Start Date):</t>
        </is>
      </c>
      <c r="D2" s="45" t="n">
        <v>46282</v>
      </c>
    </row>
    <row r="3">
      <c r="C3" s="1" t="inlineStr">
        <is>
          <t>Lịch làm việc (Calendar):</t>
        </is>
      </c>
      <c r="D3" s="43" t="inlineStr">
        <is>
          <t>Standard (7 ngày/tuần, 08:00 – 17:00)</t>
        </is>
      </c>
    </row>
    <row r="4">
      <c r="C4" s="1" t="inlineStr">
        <is>
          <t>Người thực hiện:</t>
        </is>
      </c>
      <c r="D4" s="43" t="inlineStr">
        <is>
          <t>Nguyễn Đăng Phúc Thiện (24dh111762), Mai Đăng Khoa</t>
        </is>
      </c>
    </row>
    <row r="5">
      <c r="C5" s="1" t="inlineStr">
        <is>
          <t>Số giờ làm việc mỗi ngày:</t>
        </is>
      </c>
      <c r="D5" s="43" t="n">
        <v>8</v>
      </c>
    </row>
    <row r="6" ht="42" customHeight="1" s="36">
      <c r="A6" s="2" t="inlineStr">
        <is>
          <t>ID</t>
        </is>
      </c>
      <c r="B6" s="2" t="inlineStr">
        <is>
          <t>WBS (Mã Công Việc)</t>
        </is>
      </c>
      <c r="C6" s="2" t="inlineStr">
        <is>
          <t>Tên công việc (Task Name)</t>
        </is>
      </c>
      <c r="D6" s="2" t="inlineStr">
        <is>
          <t>Thành viên (Resource Names)</t>
        </is>
      </c>
      <c r="E6" s="2" t="inlineStr">
        <is>
          <t>Thời lượng (Duration)</t>
        </is>
      </c>
      <c r="F6" s="2" t="inlineStr">
        <is>
          <t>Số giờ công (Work)</t>
        </is>
      </c>
      <c r="G6" s="2" t="inlineStr">
        <is>
          <t>Ngày bắt đầu (Start)</t>
        </is>
      </c>
      <c r="H6" s="2" t="inlineStr">
        <is>
          <t>Ngày kết thúc (Finish)</t>
        </is>
      </c>
      <c r="I6" s="2" t="inlineStr">
        <is>
          <t>Công việc tiền đề (Predecessors)</t>
        </is>
      </c>
      <c r="J6" s="2" t="inlineStr">
        <is>
          <t>Story Points (Product Backlog)</t>
        </is>
      </c>
    </row>
    <row r="7">
      <c r="A7" s="3" t="n">
        <v>0</v>
      </c>
      <c r="B7" s="4" t="inlineStr">
        <is>
          <t>0</t>
        </is>
      </c>
      <c r="C7" s="5" t="inlineStr">
        <is>
          <t>Hệ thống quản lý thư viện</t>
        </is>
      </c>
      <c r="D7" s="29" t="n"/>
      <c r="E7" s="46">
        <f>H7-G7+1</f>
        <v>66</v>
      </c>
      <c r="F7" s="47">
        <f>SUM(F8,F11)</f>
        <v>880</v>
      </c>
      <c r="G7" s="48">
        <f>MIN(G8,G11)</f>
        <v>46282</v>
      </c>
      <c r="H7" s="48">
        <f>MAX(H8,H11)</f>
        <v>46347</v>
      </c>
      <c r="I7" s="3" t="n"/>
      <c r="J7" s="8">
        <f>SUM(J11)</f>
        <v>60</v>
      </c>
    </row>
    <row r="8">
      <c r="A8" s="9" t="n">
        <v>1</v>
      </c>
      <c r="B8" s="10" t="inlineStr">
        <is>
          <t>1</t>
        </is>
      </c>
      <c r="C8" s="11" t="inlineStr">
        <is>
          <t>Start up</t>
        </is>
      </c>
      <c r="D8" s="28" t="n"/>
      <c r="E8" s="49">
        <f>H8-G8+1</f>
        <v>14</v>
      </c>
      <c r="F8" s="50">
        <f>SUM(F9,F10)</f>
        <v>112</v>
      </c>
      <c r="G8" s="51">
        <f>MIN(G9,G10)</f>
        <v>46282</v>
      </c>
      <c r="H8" s="51">
        <f>MAX(H9,H10)</f>
        <v>46295</v>
      </c>
      <c r="I8" s="9" t="n"/>
      <c r="J8" s="14" t="n"/>
    </row>
    <row r="9">
      <c r="A9" s="15" t="n">
        <v>2</v>
      </c>
      <c r="B9" s="16" t="inlineStr">
        <is>
          <t>1.1</t>
        </is>
      </c>
      <c r="C9" s="17" t="inlineStr">
        <is>
          <t>Thiết kế dữ liệu</t>
        </is>
      </c>
      <c r="D9" s="27" t="inlineStr">
        <is>
          <t>A</t>
        </is>
      </c>
      <c r="E9" s="52" t="n">
        <v>7</v>
      </c>
      <c r="F9" s="53">
        <f>IF(D9="",0,(LEN(D9)-LEN(SUBSTITUTE(D9,",",""))+1)*E9*$D$5)</f>
        <v>56</v>
      </c>
      <c r="G9" s="54">
        <f>$D$2</f>
        <v>46282</v>
      </c>
      <c r="H9" s="54">
        <f>G9+E9-1</f>
        <v>46288</v>
      </c>
      <c r="I9" s="15" t="n"/>
      <c r="J9" s="20" t="n"/>
    </row>
    <row r="10">
      <c r="A10" s="15" t="n">
        <v>3</v>
      </c>
      <c r="B10" s="16" t="inlineStr">
        <is>
          <t>1.2</t>
        </is>
      </c>
      <c r="C10" s="17" t="inlineStr">
        <is>
          <t>Tạo project</t>
        </is>
      </c>
      <c r="D10" s="27" t="inlineStr">
        <is>
          <t>A</t>
        </is>
      </c>
      <c r="E10" s="52" t="n">
        <v>7</v>
      </c>
      <c r="F10" s="53">
        <f>IF(D10="",0,(LEN(D10)-LEN(SUBSTITUTE(D10,",",""))+1)*E10*$D$5)</f>
        <v>56</v>
      </c>
      <c r="G10" s="54">
        <f>H9+1</f>
        <v>46289</v>
      </c>
      <c r="H10" s="54">
        <f>G10+E10-1</f>
        <v>46295</v>
      </c>
      <c r="I10" s="15" t="inlineStr">
        <is>
          <t>2</t>
        </is>
      </c>
      <c r="J10" s="20" t="n"/>
    </row>
    <row r="11">
      <c r="A11" s="9" t="n">
        <v>4</v>
      </c>
      <c r="B11" s="10" t="inlineStr">
        <is>
          <t>2</t>
        </is>
      </c>
      <c r="C11" s="11" t="inlineStr">
        <is>
          <t>Development</t>
        </is>
      </c>
      <c r="D11" s="28" t="n"/>
      <c r="E11" s="49">
        <f>H11-G11+1</f>
        <v>52</v>
      </c>
      <c r="F11" s="50">
        <f>SUM(F12,F20,F27,F32)</f>
        <v>768</v>
      </c>
      <c r="G11" s="51">
        <f>MIN(G12,G20,G27,G32)</f>
        <v>46296</v>
      </c>
      <c r="H11" s="51">
        <f>MAX(H12,H20,H27,H32)</f>
        <v>46347</v>
      </c>
      <c r="I11" s="9" t="n"/>
      <c r="J11" s="14">
        <f>SUM(J12,J20,J27,J32)</f>
        <v>60</v>
      </c>
    </row>
    <row r="12">
      <c r="A12" s="9" t="n">
        <v>5</v>
      </c>
      <c r="B12" s="10" t="inlineStr">
        <is>
          <t>2.1</t>
        </is>
      </c>
      <c r="C12" s="21" t="inlineStr">
        <is>
          <t>Sprint 1 – Quản lý Sách + bắt đầu Quản lý Thẻ</t>
        </is>
      </c>
      <c r="D12" s="28" t="n"/>
      <c r="E12" s="49">
        <f>H12-G12+1</f>
        <v>15</v>
      </c>
      <c r="F12" s="50">
        <f>SUM(F13,F14,F15,F16,F17,F18,F19)</f>
        <v>224</v>
      </c>
      <c r="G12" s="51">
        <f>MIN(G13,G14,G15,G16,G17,G18,G19)</f>
        <v>46296</v>
      </c>
      <c r="H12" s="51">
        <f>MAX(H13,H14,H15,H16,H17,H18,H19)</f>
        <v>46310</v>
      </c>
      <c r="I12" s="9" t="n"/>
      <c r="J12" s="33">
        <f>SUM(J13,J14,J15,J16,J17,J18,J19)</f>
        <v>21</v>
      </c>
    </row>
    <row r="13">
      <c r="A13" s="15" t="n">
        <v>6</v>
      </c>
      <c r="B13" s="16" t="inlineStr">
        <is>
          <t>2.1.1</t>
        </is>
      </c>
      <c r="C13" s="24" t="inlineStr">
        <is>
          <t>PBI01 – Thêm mới thông tin sách</t>
        </is>
      </c>
      <c r="D13" s="27" t="inlineStr">
        <is>
          <t>A,M</t>
        </is>
      </c>
      <c r="E13" s="52" t="n">
        <v>2</v>
      </c>
      <c r="F13" s="53">
        <f>IF(D13="",0,(LEN(D13)-LEN(SUBSTITUTE(D13,",",""))+1)*E13*$D$5)</f>
        <v>32</v>
      </c>
      <c r="G13" s="54" t="n">
        <v>46296</v>
      </c>
      <c r="H13" s="54">
        <f>G13+E13-1</f>
        <v>46297</v>
      </c>
      <c r="I13" s="16" t="n"/>
      <c r="J13" s="34" t="n">
        <v>3</v>
      </c>
    </row>
    <row r="14">
      <c r="A14" s="15" t="n">
        <v>7</v>
      </c>
      <c r="B14" s="16" t="inlineStr">
        <is>
          <t>2.1.2</t>
        </is>
      </c>
      <c r="C14" s="24" t="inlineStr">
        <is>
          <t>PBI02 – Sửa / xóa thông tin sách</t>
        </is>
      </c>
      <c r="D14" s="27" t="inlineStr">
        <is>
          <t>A,M</t>
        </is>
      </c>
      <c r="E14" s="52" t="n">
        <v>1</v>
      </c>
      <c r="F14" s="53">
        <f>IF(D14="",0,(LEN(D14)-LEN(SUBSTITUTE(D14,",",""))+1)*E14*$D$5)</f>
        <v>16</v>
      </c>
      <c r="G14" s="54">
        <f>H13+1</f>
        <v>46298</v>
      </c>
      <c r="H14" s="54">
        <f>G14+E14-1</f>
        <v>46298</v>
      </c>
      <c r="I14" s="16" t="inlineStr">
        <is>
          <t>6</t>
        </is>
      </c>
      <c r="J14" s="34" t="n">
        <v>2</v>
      </c>
    </row>
    <row r="15">
      <c r="A15" s="15" t="n">
        <v>8</v>
      </c>
      <c r="B15" s="16" t="inlineStr">
        <is>
          <t>2.1.3</t>
        </is>
      </c>
      <c r="C15" s="24" t="inlineStr">
        <is>
          <t>PBI03 – Tìm kiếm sách</t>
        </is>
      </c>
      <c r="D15" s="27" t="inlineStr">
        <is>
          <t>A,M</t>
        </is>
      </c>
      <c r="E15" s="52" t="n">
        <v>2</v>
      </c>
      <c r="F15" s="53">
        <f>IF(D15="",0,(LEN(D15)-LEN(SUBSTITUTE(D15,",",""))+1)*E15*$D$5)</f>
        <v>32</v>
      </c>
      <c r="G15" s="54" t="n">
        <v>46300</v>
      </c>
      <c r="H15" s="54">
        <f>G15+E15-1</f>
        <v>46301</v>
      </c>
      <c r="I15" s="16" t="n"/>
      <c r="J15" s="34" t="n">
        <v>3</v>
      </c>
    </row>
    <row r="16">
      <c r="A16" s="15" t="n">
        <v>9</v>
      </c>
      <c r="B16" s="16" t="inlineStr">
        <is>
          <t>2.1.4</t>
        </is>
      </c>
      <c r="C16" s="24" t="inlineStr">
        <is>
          <t>PBI04 – Quản lý các đầu sách</t>
        </is>
      </c>
      <c r="D16" s="27" t="inlineStr">
        <is>
          <t>A,M</t>
        </is>
      </c>
      <c r="E16" s="52" t="n">
        <v>3</v>
      </c>
      <c r="F16" s="53">
        <f>IF(D16="",0,(LEN(D16)-LEN(SUBSTITUTE(D16,",",""))+1)*E16*$D$5)</f>
        <v>48</v>
      </c>
      <c r="G16" s="54">
        <f>H15+1</f>
        <v>46302</v>
      </c>
      <c r="H16" s="54">
        <f>G16+E16-1</f>
        <v>46304</v>
      </c>
      <c r="I16" s="16" t="inlineStr">
        <is>
          <t>8</t>
        </is>
      </c>
      <c r="J16" s="34" t="n">
        <v>5</v>
      </c>
    </row>
    <row r="17">
      <c r="A17" s="15" t="n">
        <v>10</v>
      </c>
      <c r="B17" s="16" t="inlineStr">
        <is>
          <t>2.1.5</t>
        </is>
      </c>
      <c r="C17" s="24" t="inlineStr">
        <is>
          <t>PBI05 – Cập nhật tình trạng đầu sách</t>
        </is>
      </c>
      <c r="D17" s="27" t="inlineStr">
        <is>
          <t>A,M</t>
        </is>
      </c>
      <c r="E17" s="52" t="n">
        <v>3</v>
      </c>
      <c r="F17" s="53">
        <f>IF(D17="",0,(LEN(D17)-LEN(SUBSTITUTE(D17,",",""))+1)*E17*$D$5)</f>
        <v>48</v>
      </c>
      <c r="G17" s="54">
        <f>H16+1</f>
        <v>46305</v>
      </c>
      <c r="H17" s="54">
        <f>G17+E17-1</f>
        <v>46307</v>
      </c>
      <c r="I17" s="16" t="inlineStr">
        <is>
          <t>9</t>
        </is>
      </c>
      <c r="J17" s="34" t="n">
        <v>3</v>
      </c>
    </row>
    <row r="18">
      <c r="A18" s="15" t="n">
        <v>11</v>
      </c>
      <c r="B18" s="16" t="inlineStr">
        <is>
          <t>2.1.6</t>
        </is>
      </c>
      <c r="C18" s="24" t="inlineStr">
        <is>
          <t>PBI06 – Tạo thẻ thư viện</t>
        </is>
      </c>
      <c r="D18" s="27" t="inlineStr">
        <is>
          <t>A,M</t>
        </is>
      </c>
      <c r="E18" s="52" t="n">
        <v>2</v>
      </c>
      <c r="F18" s="53">
        <f>IF(D18="",0,(LEN(D18)-LEN(SUBSTITUTE(D18,",",""))+1)*E18*$D$5)</f>
        <v>32</v>
      </c>
      <c r="G18" s="54">
        <f>H17+1</f>
        <v>46308</v>
      </c>
      <c r="H18" s="54">
        <f>G18+E18-1</f>
        <v>46309</v>
      </c>
      <c r="I18" s="16" t="inlineStr">
        <is>
          <t>10</t>
        </is>
      </c>
      <c r="J18" s="34" t="n">
        <v>3</v>
      </c>
    </row>
    <row r="19">
      <c r="A19" s="15" t="n">
        <v>12</v>
      </c>
      <c r="B19" s="16" t="inlineStr">
        <is>
          <t>2.1.7</t>
        </is>
      </c>
      <c r="C19" s="24" t="inlineStr">
        <is>
          <t>PBI07 – Cập nhật tình trạng thẻ</t>
        </is>
      </c>
      <c r="D19" s="27" t="inlineStr">
        <is>
          <t>A,M</t>
        </is>
      </c>
      <c r="E19" s="52" t="n">
        <v>1</v>
      </c>
      <c r="F19" s="53">
        <f>IF(D19="",0,(LEN(D19)-LEN(SUBSTITUTE(D19,",",""))+1)*E19*$D$5)</f>
        <v>16</v>
      </c>
      <c r="G19" s="54">
        <f>H18+1</f>
        <v>46310</v>
      </c>
      <c r="H19" s="54">
        <f>G19+E19-1</f>
        <v>46310</v>
      </c>
      <c r="I19" s="16" t="inlineStr">
        <is>
          <t>11</t>
        </is>
      </c>
      <c r="J19" s="34" t="n">
        <v>2</v>
      </c>
    </row>
    <row r="20">
      <c r="A20" s="9" t="n">
        <v>13</v>
      </c>
      <c r="B20" s="10" t="inlineStr">
        <is>
          <t>2.2</t>
        </is>
      </c>
      <c r="C20" s="21" t="inlineStr">
        <is>
          <t>Sprint 2 – Hoàn tất Quản lý Thẻ + Mượn/Trả sách</t>
        </is>
      </c>
      <c r="D20" s="28" t="n"/>
      <c r="E20" s="49">
        <f>H20-G20+1</f>
        <v>17</v>
      </c>
      <c r="F20" s="50">
        <f>SUM(F21,F22,F23,F24,F25,F26)</f>
        <v>272</v>
      </c>
      <c r="G20" s="51">
        <f>MIN(G21,G22,G23,G24,G25,G26)</f>
        <v>46314</v>
      </c>
      <c r="H20" s="51">
        <f>MAX(H21,H22,H23,H24,H25,H26)</f>
        <v>46330</v>
      </c>
      <c r="I20" s="9" t="n"/>
      <c r="J20" s="33">
        <f>SUM(J21,J22,J23,J24,J25,J26)</f>
        <v>24</v>
      </c>
    </row>
    <row r="21">
      <c r="A21" s="15" t="n">
        <v>14</v>
      </c>
      <c r="B21" s="16" t="inlineStr">
        <is>
          <t>2.2.1</t>
        </is>
      </c>
      <c r="C21" s="24" t="inlineStr">
        <is>
          <t>PBI08 – Tự động khóa thẻ khi mất / hỏng sách</t>
        </is>
      </c>
      <c r="D21" s="27" t="inlineStr">
        <is>
          <t>A,M</t>
        </is>
      </c>
      <c r="E21" s="52" t="n">
        <v>3</v>
      </c>
      <c r="F21" s="53">
        <f>IF(D21="",0,(LEN(D21)-LEN(SUBSTITUTE(D21,",",""))+1)*E21*$D$5)</f>
        <v>48</v>
      </c>
      <c r="G21" s="54" t="n">
        <v>46314</v>
      </c>
      <c r="H21" s="54">
        <f>G21+E21-1</f>
        <v>46316</v>
      </c>
      <c r="I21" s="16" t="n"/>
      <c r="J21" s="34" t="n">
        <v>5</v>
      </c>
    </row>
    <row r="22">
      <c r="A22" s="15" t="n">
        <v>15</v>
      </c>
      <c r="B22" s="16" t="inlineStr">
        <is>
          <t>2.2.2</t>
        </is>
      </c>
      <c r="C22" s="24" t="inlineStr">
        <is>
          <t>PBI09 – Ghi nhận bồi thường, khôi phục thẻ</t>
        </is>
      </c>
      <c r="D22" s="27" t="inlineStr">
        <is>
          <t>A,M</t>
        </is>
      </c>
      <c r="E22" s="52" t="n">
        <v>2</v>
      </c>
      <c r="F22" s="53">
        <f>IF(D22="",0,(LEN(D22)-LEN(SUBSTITUTE(D22,",",""))+1)*E22*$D$5)</f>
        <v>32</v>
      </c>
      <c r="G22" s="54">
        <f>H21+1</f>
        <v>46317</v>
      </c>
      <c r="H22" s="54">
        <f>G22+E22-1</f>
        <v>46318</v>
      </c>
      <c r="I22" s="16" t="inlineStr">
        <is>
          <t>14</t>
        </is>
      </c>
      <c r="J22" s="34" t="n">
        <v>3</v>
      </c>
    </row>
    <row r="23">
      <c r="A23" s="15" t="n">
        <v>16</v>
      </c>
      <c r="B23" s="16" t="inlineStr">
        <is>
          <t>2.2.3</t>
        </is>
      </c>
      <c r="C23" s="24" t="inlineStr">
        <is>
          <t>PBI10 – Mượn tối đa 3 mã sách trong 15 ngày</t>
        </is>
      </c>
      <c r="D23" s="27" t="inlineStr">
        <is>
          <t>A,M</t>
        </is>
      </c>
      <c r="E23" s="52" t="n">
        <v>4</v>
      </c>
      <c r="F23" s="53">
        <f>IF(D23="",0,(LEN(D23)-LEN(SUBSTITUTE(D23,",",""))+1)*E23*$D$5)</f>
        <v>64</v>
      </c>
      <c r="G23" s="54">
        <f>H22+1</f>
        <v>46319</v>
      </c>
      <c r="H23" s="54">
        <f>G23+E23-1</f>
        <v>46322</v>
      </c>
      <c r="I23" s="16" t="inlineStr">
        <is>
          <t>15</t>
        </is>
      </c>
      <c r="J23" s="34" t="n">
        <v>5</v>
      </c>
    </row>
    <row r="24">
      <c r="A24" s="15" t="n">
        <v>17</v>
      </c>
      <c r="B24" s="16" t="inlineStr">
        <is>
          <t>2.2.4</t>
        </is>
      </c>
      <c r="C24" s="24" t="inlineStr">
        <is>
          <t>PBI11 – Kiểm tra phiếu mượn đang mở</t>
        </is>
      </c>
      <c r="D24" s="27" t="inlineStr">
        <is>
          <t>A,M</t>
        </is>
      </c>
      <c r="E24" s="52" t="n">
        <v>3</v>
      </c>
      <c r="F24" s="53">
        <f>IF(D24="",0,(LEN(D24)-LEN(SUBSTITUTE(D24,",",""))+1)*E24*$D$5)</f>
        <v>48</v>
      </c>
      <c r="G24" s="54">
        <f>H23+1</f>
        <v>46323</v>
      </c>
      <c r="H24" s="54">
        <f>G24+E24-1</f>
        <v>46325</v>
      </c>
      <c r="I24" s="16" t="inlineStr">
        <is>
          <t>16</t>
        </is>
      </c>
      <c r="J24" s="34" t="n">
        <v>5</v>
      </c>
    </row>
    <row r="25">
      <c r="A25" s="15" t="n">
        <v>18</v>
      </c>
      <c r="B25" s="16" t="inlineStr">
        <is>
          <t>2.2.5</t>
        </is>
      </c>
      <c r="C25" s="24" t="inlineStr">
        <is>
          <t>PBI12 – Ghi nhận trả sách</t>
        </is>
      </c>
      <c r="D25" s="27" t="inlineStr">
        <is>
          <t>A,M</t>
        </is>
      </c>
      <c r="E25" s="52" t="n">
        <v>3</v>
      </c>
      <c r="F25" s="53">
        <f>IF(D25="",0,(LEN(D25)-LEN(SUBSTITUTE(D25,",",""))+1)*E25*$D$5)</f>
        <v>48</v>
      </c>
      <c r="G25" s="54">
        <f>H24+1</f>
        <v>46326</v>
      </c>
      <c r="H25" s="54">
        <f>G25+E25-1</f>
        <v>46328</v>
      </c>
      <c r="I25" s="16" t="inlineStr">
        <is>
          <t>17</t>
        </is>
      </c>
      <c r="J25" s="34" t="n">
        <v>3</v>
      </c>
    </row>
    <row r="26">
      <c r="A26" s="15" t="n">
        <v>19</v>
      </c>
      <c r="B26" s="16" t="inlineStr">
        <is>
          <t>2.2.6</t>
        </is>
      </c>
      <c r="C26" s="24" t="inlineStr">
        <is>
          <t>PBI13 – Ghi nhận báo mất / báo hỏng</t>
        </is>
      </c>
      <c r="D26" s="27" t="inlineStr">
        <is>
          <t>A,M</t>
        </is>
      </c>
      <c r="E26" s="52" t="n">
        <v>2</v>
      </c>
      <c r="F26" s="53">
        <f>IF(D26="",0,(LEN(D26)-LEN(SUBSTITUTE(D26,",",""))+1)*E26*$D$5)</f>
        <v>32</v>
      </c>
      <c r="G26" s="54">
        <f>H25+1</f>
        <v>46329</v>
      </c>
      <c r="H26" s="54">
        <f>G26+E26-1</f>
        <v>46330</v>
      </c>
      <c r="I26" s="16" t="inlineStr">
        <is>
          <t>18</t>
        </is>
      </c>
      <c r="J26" s="34" t="n">
        <v>3</v>
      </c>
    </row>
    <row r="27">
      <c r="A27" s="9" t="n">
        <v>20</v>
      </c>
      <c r="B27" s="10" t="inlineStr">
        <is>
          <t>2.3</t>
        </is>
      </c>
      <c r="C27" s="21" t="inlineStr">
        <is>
          <t>Sprint 3 – Báo cáo/Thống kê + Quản lý Tài khoản</t>
        </is>
      </c>
      <c r="D27" s="28" t="n"/>
      <c r="E27" s="49">
        <f>H27-G27+1</f>
        <v>9</v>
      </c>
      <c r="F27" s="50">
        <f>SUM(F28,F29,F30,F31)</f>
        <v>144</v>
      </c>
      <c r="G27" s="51">
        <f>MIN(G28,G29,G30,G31)</f>
        <v>46331</v>
      </c>
      <c r="H27" s="51">
        <f>MAX(H28,H29,H30,H31)</f>
        <v>46339</v>
      </c>
      <c r="I27" s="9" t="n"/>
      <c r="J27" s="33">
        <f>SUM(J28,J29,J30,J31)</f>
        <v>15</v>
      </c>
    </row>
    <row r="28">
      <c r="A28" s="15" t="n">
        <v>21</v>
      </c>
      <c r="B28" s="16" t="inlineStr">
        <is>
          <t>2.3.1</t>
        </is>
      </c>
      <c r="C28" s="24" t="inlineStr">
        <is>
          <t>PBI14 – Báo cáo hàng năm sách mất / hỏng</t>
        </is>
      </c>
      <c r="D28" s="27" t="inlineStr">
        <is>
          <t>A,M</t>
        </is>
      </c>
      <c r="E28" s="52" t="n">
        <v>3</v>
      </c>
      <c r="F28" s="53">
        <f>IF(D28="",0,(LEN(D28)-LEN(SUBSTITUTE(D28,",",""))+1)*E28*$D$5)</f>
        <v>48</v>
      </c>
      <c r="G28" s="54" t="n">
        <v>46331</v>
      </c>
      <c r="H28" s="54">
        <f>G28+E28-1</f>
        <v>46333</v>
      </c>
      <c r="I28" s="16" t="n"/>
      <c r="J28" s="34" t="n">
        <v>5</v>
      </c>
    </row>
    <row r="29">
      <c r="A29" s="15" t="n">
        <v>22</v>
      </c>
      <c r="B29" s="16" t="inlineStr">
        <is>
          <t>2.3.2</t>
        </is>
      </c>
      <c r="C29" s="24" t="inlineStr">
        <is>
          <t>PBI15 – Thống kê tình trạng mượn / trả</t>
        </is>
      </c>
      <c r="D29" s="27" t="inlineStr">
        <is>
          <t>A,M</t>
        </is>
      </c>
      <c r="E29" s="52" t="n">
        <v>3</v>
      </c>
      <c r="F29" s="53">
        <f>IF(D29="",0,(LEN(D29)-LEN(SUBSTITUTE(D29,",",""))+1)*E29*$D$5)</f>
        <v>48</v>
      </c>
      <c r="G29" s="54">
        <f>H28+1</f>
        <v>46334</v>
      </c>
      <c r="H29" s="54">
        <f>G29+E29-1</f>
        <v>46336</v>
      </c>
      <c r="I29" s="16" t="inlineStr">
        <is>
          <t>21</t>
        </is>
      </c>
      <c r="J29" s="34" t="n">
        <v>5</v>
      </c>
    </row>
    <row r="30">
      <c r="A30" s="15" t="n">
        <v>23</v>
      </c>
      <c r="B30" s="16" t="inlineStr">
        <is>
          <t>2.3.3</t>
        </is>
      </c>
      <c r="C30" s="24" t="inlineStr">
        <is>
          <t>PBI16 – Tạo và phân quyền tài khoản thủ thư</t>
        </is>
      </c>
      <c r="D30" s="27" t="inlineStr">
        <is>
          <t>A,M</t>
        </is>
      </c>
      <c r="E30" s="52" t="n">
        <v>2</v>
      </c>
      <c r="F30" s="53">
        <f>IF(D30="",0,(LEN(D30)-LEN(SUBSTITUTE(D30,",",""))+1)*E30*$D$5)</f>
        <v>32</v>
      </c>
      <c r="G30" s="54">
        <f>H29+1</f>
        <v>46337</v>
      </c>
      <c r="H30" s="54">
        <f>G30+E30-1</f>
        <v>46338</v>
      </c>
      <c r="I30" s="16" t="inlineStr">
        <is>
          <t>22</t>
        </is>
      </c>
      <c r="J30" s="34" t="n">
        <v>3</v>
      </c>
    </row>
    <row r="31">
      <c r="A31" s="15" t="n">
        <v>24</v>
      </c>
      <c r="B31" s="16" t="inlineStr">
        <is>
          <t>2.3.4</t>
        </is>
      </c>
      <c r="C31" s="24" t="inlineStr">
        <is>
          <t>PBI17 – Đăng nhập hệ thống</t>
        </is>
      </c>
      <c r="D31" s="27" t="inlineStr">
        <is>
          <t>A,M</t>
        </is>
      </c>
      <c r="E31" s="52" t="n">
        <v>1</v>
      </c>
      <c r="F31" s="53">
        <f>IF(D31="",0,(LEN(D31)-LEN(SUBSTITUTE(D31,",",""))+1)*E31*$D$5)</f>
        <v>16</v>
      </c>
      <c r="G31" s="54">
        <f>H30+1</f>
        <v>46339</v>
      </c>
      <c r="H31" s="54">
        <f>G31+E31-1</f>
        <v>46339</v>
      </c>
      <c r="I31" s="16" t="inlineStr">
        <is>
          <t>23</t>
        </is>
      </c>
      <c r="J31" s="34" t="n">
        <v>2</v>
      </c>
    </row>
    <row r="32">
      <c r="A32" s="9" t="n">
        <v>25</v>
      </c>
      <c r="B32" s="10" t="inlineStr">
        <is>
          <t>2.4</t>
        </is>
      </c>
      <c r="C32" s="21" t="inlineStr">
        <is>
          <t>Sprint 4 Yêu cầu phi chức năng</t>
        </is>
      </c>
      <c r="D32" s="28" t="n"/>
      <c r="E32" s="49">
        <f>H32-G32+1</f>
        <v>8</v>
      </c>
      <c r="F32" s="50">
        <f>SUM(F33,F34,F35,F36)</f>
        <v>128</v>
      </c>
      <c r="G32" s="51">
        <f>MIN(G33,G34,G35,G36)</f>
        <v>46340</v>
      </c>
      <c r="H32" s="51">
        <f>MAX(H33,H34,H35,H36)</f>
        <v>46347</v>
      </c>
      <c r="I32" s="9" t="n"/>
      <c r="J32" s="33">
        <f>SUM(J33,J34,J35,J36)</f>
        <v>0</v>
      </c>
    </row>
    <row r="33">
      <c r="A33" s="15" t="n">
        <v>26</v>
      </c>
      <c r="B33" s="16" t="inlineStr">
        <is>
          <t>2.4.1</t>
        </is>
      </c>
      <c r="C33" s="24" t="inlineStr">
        <is>
          <t>PBI18 - Kiểm tra ràng buộc nghiệp vụ</t>
        </is>
      </c>
      <c r="D33" s="27" t="inlineStr">
        <is>
          <t>M,A</t>
        </is>
      </c>
      <c r="E33" s="52" t="n">
        <v>2</v>
      </c>
      <c r="F33" s="53">
        <f>IF(D33="",0,(LEN(D33)-LEN(SUBSTITUTE(D33,",",""))+1)*E33*$D$5)</f>
        <v>32</v>
      </c>
      <c r="G33" s="54" t="n">
        <v>46340</v>
      </c>
      <c r="H33" s="54">
        <f>G33+E33-1</f>
        <v>46341</v>
      </c>
      <c r="I33" s="16" t="n"/>
      <c r="J33" s="34" t="n"/>
    </row>
    <row r="34">
      <c r="A34" s="15" t="n">
        <v>27</v>
      </c>
      <c r="B34" s="16" t="inlineStr">
        <is>
          <t>2.4.2</t>
        </is>
      </c>
      <c r="C34" s="24" t="inlineStr">
        <is>
          <t>PBI19 - Ghi log lịch sử mượn/trả</t>
        </is>
      </c>
      <c r="D34" s="27" t="inlineStr">
        <is>
          <t>M,A</t>
        </is>
      </c>
      <c r="E34" s="52" t="n">
        <v>2</v>
      </c>
      <c r="F34" s="53">
        <f>IF(D34="",0,(LEN(D34)-LEN(SUBSTITUTE(D34,",",""))+1)*E34*$D$5)</f>
        <v>32</v>
      </c>
      <c r="G34" s="54">
        <f>H33+1</f>
        <v>46342</v>
      </c>
      <c r="H34" s="54">
        <f>G34+E34-1</f>
        <v>46343</v>
      </c>
      <c r="I34" s="16" t="inlineStr">
        <is>
          <t>26</t>
        </is>
      </c>
      <c r="J34" s="34" t="n"/>
    </row>
    <row r="35">
      <c r="A35" s="15" t="n">
        <v>28</v>
      </c>
      <c r="B35" s="16" t="inlineStr">
        <is>
          <t>2.4.3</t>
        </is>
      </c>
      <c r="C35" s="24" t="inlineStr">
        <is>
          <t>PBI20 - Tối ưu giao diện thao tác nhanh</t>
        </is>
      </c>
      <c r="D35" s="27" t="inlineStr">
        <is>
          <t>M,A</t>
        </is>
      </c>
      <c r="E35" s="52" t="n">
        <v>1</v>
      </c>
      <c r="F35" s="53">
        <f>IF(D35="",0,(LEN(D35)-LEN(SUBSTITUTE(D35,",",""))+1)*E35*$D$5)</f>
        <v>16</v>
      </c>
      <c r="G35" s="54">
        <f>H34+1</f>
        <v>46344</v>
      </c>
      <c r="H35" s="54">
        <f>G35+E35-1</f>
        <v>46344</v>
      </c>
      <c r="I35" s="16" t="inlineStr">
        <is>
          <t>27</t>
        </is>
      </c>
      <c r="J35" s="34" t="n"/>
    </row>
    <row r="36">
      <c r="A36" s="15" t="n">
        <v>29</v>
      </c>
      <c r="B36" s="16" t="inlineStr">
        <is>
          <t>2.4.4</t>
        </is>
      </c>
      <c r="C36" s="24" t="inlineStr">
        <is>
          <t>PBI21 - Mở rộng thêm loại tài liệu khác</t>
        </is>
      </c>
      <c r="D36" s="27" t="inlineStr">
        <is>
          <t>M,A</t>
        </is>
      </c>
      <c r="E36" s="52" t="n">
        <v>3</v>
      </c>
      <c r="F36" s="53">
        <f>IF(D36="",0,(LEN(D36)-LEN(SUBSTITUTE(D36,",",""))+1)*E36*$D$5)</f>
        <v>48</v>
      </c>
      <c r="G36" s="54">
        <f>H35+1</f>
        <v>46345</v>
      </c>
      <c r="H36" s="54">
        <f>G36+E36-1</f>
        <v>46347</v>
      </c>
      <c r="I36" s="16" t="inlineStr">
        <is>
          <t>28</t>
        </is>
      </c>
      <c r="J36" s="34" t="n"/>
    </row>
  </sheetData>
  <mergeCells count="4">
    <mergeCell ref="D4:H4"/>
    <mergeCell ref="D2:H2"/>
    <mergeCell ref="D1:H1"/>
    <mergeCell ref="D3:H3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zoomScaleNormal="100" workbookViewId="0">
      <pane ySplit="1" topLeftCell="A2" activePane="bottomLeft" state="frozen"/>
      <selection pane="bottomLeft" activeCell="H12" sqref="H12"/>
    </sheetView>
  </sheetViews>
  <sheetFormatPr baseColWidth="8" defaultColWidth="8.6328125" defaultRowHeight="14.5"/>
  <cols>
    <col width="6" customWidth="1" style="36" min="1" max="1"/>
    <col width="38" customWidth="1" style="36" min="2" max="2"/>
    <col width="10" customWidth="1" style="36" min="3" max="4"/>
    <col width="11" customWidth="1" style="36" min="5" max="5"/>
    <col width="12" customWidth="1" style="36" min="6" max="6"/>
    <col width="34" customWidth="1" style="36" min="7" max="7"/>
  </cols>
  <sheetData>
    <row r="1">
      <c r="A1" s="2" t="inlineStr">
        <is>
          <t>STT</t>
        </is>
      </c>
      <c r="B1" s="2" t="inlineStr">
        <is>
          <t>Resource Name</t>
        </is>
      </c>
      <c r="C1" s="2" t="inlineStr">
        <is>
          <t>Type</t>
        </is>
      </c>
      <c r="D1" s="2" t="inlineStr">
        <is>
          <t>Initials</t>
        </is>
      </c>
      <c r="E1" s="2" t="inlineStr">
        <is>
          <t>Max Units</t>
        </is>
      </c>
      <c r="F1" s="2" t="inlineStr">
        <is>
          <t>Std. Rate</t>
        </is>
      </c>
      <c r="G1" s="2" t="inlineStr">
        <is>
          <t>Vai trò / Ghi chú</t>
        </is>
      </c>
    </row>
    <row r="2">
      <c r="A2" s="25" t="n">
        <v>1</v>
      </c>
      <c r="B2" s="37" t="inlineStr">
        <is>
          <t>Nguyễn Đăng Phúc Thiện</t>
        </is>
      </c>
      <c r="C2" s="38" t="inlineStr">
        <is>
          <t>Work</t>
        </is>
      </c>
      <c r="D2" s="38" t="inlineStr">
        <is>
          <t>A</t>
        </is>
      </c>
      <c r="E2" s="39" t="n">
        <v>1</v>
      </c>
      <c r="F2" s="40" t="n">
        <v>0</v>
      </c>
      <c r="G2" s="41" t="inlineStr">
        <is>
          <t xml:space="preserve">Team Lead </t>
        </is>
      </c>
    </row>
    <row r="3">
      <c r="A3" s="25" t="n">
        <v>2</v>
      </c>
      <c r="B3" s="37" t="inlineStr">
        <is>
          <t>Mai Đăng Khoa</t>
        </is>
      </c>
      <c r="C3" s="38" t="inlineStr">
        <is>
          <t>Work</t>
        </is>
      </c>
      <c r="D3" s="38" t="inlineStr">
        <is>
          <t>M</t>
        </is>
      </c>
      <c r="E3" s="39" t="n">
        <v>1</v>
      </c>
      <c r="F3" s="40" t="n">
        <v>0</v>
      </c>
      <c r="G3" s="41" t="n"/>
    </row>
    <row r="4">
      <c r="A4" s="25" t="n"/>
      <c r="B4" s="42" t="n"/>
      <c r="C4" s="38" t="n"/>
      <c r="D4" s="38" t="n"/>
      <c r="E4" s="39" t="n"/>
      <c r="F4" s="40" t="n"/>
      <c r="G4" s="26" t="n"/>
    </row>
    <row r="5">
      <c r="A5" s="25" t="n"/>
      <c r="B5" s="42" t="n"/>
      <c r="C5" s="38" t="n"/>
      <c r="D5" s="38" t="n"/>
      <c r="E5" s="39" t="n"/>
      <c r="F5" s="40" t="n"/>
      <c r="G5" s="26" t="n"/>
    </row>
    <row r="6">
      <c r="A6" s="25" t="n"/>
      <c r="B6" s="42" t="n"/>
      <c r="C6" s="38" t="n"/>
      <c r="D6" s="38" t="n"/>
      <c r="E6" s="39" t="n"/>
      <c r="F6" s="40" t="n"/>
      <c r="G6" s="26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2026-09-24T07:17:59Z</dcterms:created>
  <dcterms:modified xmlns:dcterms="http://purl.org/dc/terms/" xmlns:xsi="http://www.w3.org/2001/XMLSchema-instance" xsi:type="dcterms:W3CDTF">2026-10-01T16:26:42Z</dcterms:modified>
  <cp:lastModifiedBy>BELLATOR</cp:lastModifiedBy>
  <cp:revision>0</cp:revision>
</cp:coreProperties>
</file>